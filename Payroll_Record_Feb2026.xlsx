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6C28F8C-2B08-4D45-8F5B-25604E86DA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yr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3" i="1" l="1"/>
  <c r="Y24" i="1"/>
  <c r="Y25" i="1"/>
  <c r="Y26" i="1"/>
  <c r="Y27" i="1"/>
  <c r="S24" i="1"/>
  <c r="S25" i="1"/>
  <c r="S26" i="1"/>
  <c r="S27" i="1"/>
  <c r="R24" i="1"/>
  <c r="R25" i="1"/>
  <c r="R26" i="1"/>
  <c r="R27" i="1"/>
  <c r="Q25" i="1"/>
  <c r="Q26" i="1"/>
  <c r="Q27" i="1"/>
  <c r="Q24" i="1"/>
  <c r="P24" i="1"/>
  <c r="P25" i="1"/>
  <c r="P26" i="1"/>
  <c r="O24" i="1"/>
  <c r="O25" i="1"/>
  <c r="O26" i="1"/>
  <c r="S21" i="1"/>
  <c r="S17" i="1"/>
  <c r="S9" i="1"/>
  <c r="S10" i="1"/>
  <c r="S12" i="1"/>
  <c r="S14" i="1"/>
  <c r="S15" i="1"/>
  <c r="S8" i="1"/>
  <c r="S7" i="1"/>
  <c r="S13" i="1"/>
  <c r="S5" i="1"/>
  <c r="S3" i="1"/>
  <c r="S20" i="1"/>
  <c r="S11" i="1"/>
  <c r="S22" i="1"/>
  <c r="S19" i="1"/>
  <c r="S18" i="1"/>
  <c r="S16" i="1"/>
  <c r="S4" i="1"/>
  <c r="S6" i="1"/>
  <c r="S23" i="1"/>
  <c r="S2" i="1"/>
  <c r="O21" i="1"/>
  <c r="O17" i="1"/>
  <c r="O9" i="1"/>
  <c r="O10" i="1"/>
  <c r="O27" i="1"/>
  <c r="O12" i="1"/>
  <c r="O14" i="1"/>
  <c r="O15" i="1"/>
  <c r="O8" i="1"/>
  <c r="O7" i="1"/>
  <c r="O13" i="1"/>
  <c r="O5" i="1"/>
  <c r="O3" i="1"/>
  <c r="O20" i="1"/>
  <c r="O11" i="1"/>
  <c r="O22" i="1"/>
  <c r="O19" i="1"/>
  <c r="O18" i="1"/>
  <c r="O16" i="1"/>
  <c r="O4" i="1"/>
  <c r="O6" i="1"/>
  <c r="O23" i="1"/>
  <c r="P21" i="1"/>
  <c r="P17" i="1"/>
  <c r="P9" i="1"/>
  <c r="P10" i="1"/>
  <c r="P27" i="1"/>
  <c r="P12" i="1"/>
  <c r="P14" i="1"/>
  <c r="P15" i="1"/>
  <c r="P8" i="1"/>
  <c r="P7" i="1"/>
  <c r="P13" i="1"/>
  <c r="P5" i="1"/>
  <c r="P3" i="1"/>
  <c r="P20" i="1"/>
  <c r="P11" i="1"/>
  <c r="P22" i="1"/>
  <c r="P19" i="1"/>
  <c r="P18" i="1"/>
  <c r="P16" i="1"/>
  <c r="P4" i="1"/>
  <c r="P6" i="1"/>
  <c r="P23" i="1"/>
  <c r="Q21" i="1"/>
  <c r="Q17" i="1"/>
  <c r="Q9" i="1"/>
  <c r="Q10" i="1"/>
  <c r="Q12" i="1"/>
  <c r="Q14" i="1"/>
  <c r="Q15" i="1"/>
  <c r="Q8" i="1"/>
  <c r="Q7" i="1"/>
  <c r="Q13" i="1"/>
  <c r="Q5" i="1"/>
  <c r="Q3" i="1"/>
  <c r="Q20" i="1"/>
  <c r="Q11" i="1"/>
  <c r="Q22" i="1"/>
  <c r="Q19" i="1"/>
  <c r="Q18" i="1"/>
  <c r="Q16" i="1"/>
  <c r="Q4" i="1"/>
  <c r="Q6" i="1"/>
  <c r="Q23" i="1"/>
  <c r="Q2" i="1"/>
  <c r="P2" i="1"/>
  <c r="O2" i="1"/>
  <c r="R2" i="1" s="1"/>
  <c r="Y2" i="1" s="1"/>
  <c r="R21" i="1" l="1"/>
  <c r="Y21" i="1" s="1"/>
  <c r="R17" i="1"/>
  <c r="Y17" i="1" s="1"/>
  <c r="R9" i="1"/>
  <c r="Y9" i="1" s="1"/>
  <c r="R10" i="1"/>
  <c r="Y10" i="1" s="1"/>
  <c r="R12" i="1"/>
  <c r="Y12" i="1" s="1"/>
  <c r="R14" i="1"/>
  <c r="Y14" i="1" s="1"/>
  <c r="R15" i="1"/>
  <c r="Y15" i="1" s="1"/>
  <c r="R8" i="1"/>
  <c r="Y8" i="1" s="1"/>
  <c r="R7" i="1"/>
  <c r="Y7" i="1" s="1"/>
  <c r="R13" i="1"/>
  <c r="Y13" i="1" s="1"/>
  <c r="R5" i="1"/>
  <c r="Y5" i="1" s="1"/>
  <c r="R3" i="1"/>
  <c r="Y3" i="1" s="1"/>
  <c r="R20" i="1"/>
  <c r="Y20" i="1" s="1"/>
  <c r="R11" i="1"/>
  <c r="Y11" i="1" s="1"/>
  <c r="R22" i="1"/>
  <c r="Y22" i="1" s="1"/>
  <c r="R19" i="1"/>
  <c r="Y19" i="1" s="1"/>
  <c r="R18" i="1"/>
  <c r="Y18" i="1" s="1"/>
  <c r="R16" i="1"/>
  <c r="Y16" i="1" s="1"/>
  <c r="R4" i="1"/>
  <c r="Y4" i="1" s="1"/>
  <c r="R6" i="1"/>
  <c r="Y6" i="1" s="1"/>
  <c r="R23" i="1"/>
</calcChain>
</file>

<file path=xl/sharedStrings.xml><?xml version="1.0" encoding="utf-8"?>
<sst xmlns="http://schemas.openxmlformats.org/spreadsheetml/2006/main" count="155" uniqueCount="111">
  <si>
    <t>Sr. No.</t>
  </si>
  <si>
    <t>Sr. No. in Employee Register</t>
  </si>
  <si>
    <t>EPF UAN Number</t>
  </si>
  <si>
    <t>Designation</t>
  </si>
  <si>
    <t>Employee Name</t>
  </si>
  <si>
    <t>Daily Rate</t>
  </si>
  <si>
    <t>Monthly Salary</t>
  </si>
  <si>
    <t>No. of Days Worked</t>
  </si>
  <si>
    <t>Overtime hours worked</t>
  </si>
  <si>
    <t>Earnings (Basic)</t>
  </si>
  <si>
    <t>DA</t>
  </si>
  <si>
    <t>Overtime Payments</t>
  </si>
  <si>
    <t>Special Basic</t>
  </si>
  <si>
    <t>HRA</t>
  </si>
  <si>
    <t>Convey All.</t>
  </si>
  <si>
    <t>Total Gross</t>
  </si>
  <si>
    <t>PF</t>
  </si>
  <si>
    <t>ESIC</t>
  </si>
  <si>
    <t>P. Tax</t>
  </si>
  <si>
    <t>Labour Welfare Fund</t>
  </si>
  <si>
    <t>Canteen</t>
  </si>
  <si>
    <t>Advance</t>
  </si>
  <si>
    <t>Net Payment</t>
  </si>
  <si>
    <t>1</t>
  </si>
  <si>
    <t>102030572484</t>
  </si>
  <si>
    <t>102297929050</t>
  </si>
  <si>
    <t>102297926463</t>
  </si>
  <si>
    <t>102079135509</t>
  </si>
  <si>
    <t>101270097917</t>
  </si>
  <si>
    <t>101439529315</t>
  </si>
  <si>
    <t>102297924867</t>
  </si>
  <si>
    <t>102298891952</t>
  </si>
  <si>
    <t>102185476608</t>
  </si>
  <si>
    <t>101667640425</t>
  </si>
  <si>
    <t>101887806124</t>
  </si>
  <si>
    <t>101480234368</t>
  </si>
  <si>
    <t>102109999623</t>
  </si>
  <si>
    <t>102175875422</t>
  </si>
  <si>
    <t>101796314440</t>
  </si>
  <si>
    <t>102302373609</t>
  </si>
  <si>
    <t>102097275925</t>
  </si>
  <si>
    <t>102302374831</t>
  </si>
  <si>
    <t>102308840519</t>
  </si>
  <si>
    <t>101488905137</t>
  </si>
  <si>
    <t>101688911364</t>
  </si>
  <si>
    <t>102058414681</t>
  </si>
  <si>
    <t>102169560897</t>
  </si>
  <si>
    <t>102308840952</t>
  </si>
  <si>
    <t>HELPER</t>
  </si>
  <si>
    <t>KHALASI</t>
  </si>
  <si>
    <t>RIGGER</t>
  </si>
  <si>
    <t>ELECT HELPER</t>
  </si>
  <si>
    <t>WELDER</t>
  </si>
  <si>
    <t>SUPERVISOR</t>
  </si>
  <si>
    <t>HELEPR</t>
  </si>
  <si>
    <t>AJIT KUMAR</t>
  </si>
  <si>
    <t>SHIVAM NAMATA</t>
  </si>
  <si>
    <t>RUPESH KAIBARTO</t>
  </si>
  <si>
    <t>CHOTU SARDAR</t>
  </si>
  <si>
    <t>DIPAK KARWA</t>
  </si>
  <si>
    <t>VIVEK KR MUNDA</t>
  </si>
  <si>
    <t>KISHAN NAMATA</t>
  </si>
  <si>
    <t>MOHAN SOREN</t>
  </si>
  <si>
    <t>PRABHU DAS</t>
  </si>
  <si>
    <t>VISHNU SANDIL</t>
  </si>
  <si>
    <t>BITTU THAKUR</t>
  </si>
  <si>
    <t>BISHWAKRAMA GOPE</t>
  </si>
  <si>
    <t>LEKHRAJ THAKUR</t>
  </si>
  <si>
    <t>VINOD KUMAR</t>
  </si>
  <si>
    <t>ASHOK MAHTO</t>
  </si>
  <si>
    <t>UDAY SINGH</t>
  </si>
  <si>
    <t>ANKIT THAKUR</t>
  </si>
  <si>
    <t>SHEKHAR PATRO</t>
  </si>
  <si>
    <t>GOLU KR YADAV</t>
  </si>
  <si>
    <t>SONU SANDIL</t>
  </si>
  <si>
    <t>SAURABH MESHRAM</t>
  </si>
  <si>
    <t>SANNJEEV KR MISHRA</t>
  </si>
  <si>
    <t>RUPAI SIRKA</t>
  </si>
  <si>
    <t>ANURAG TIWARI</t>
  </si>
  <si>
    <t>BABAN BAIDYA</t>
  </si>
  <si>
    <t>SUDIPTA ROY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</si>
  <si>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</si>
  <si>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</si>
  <si>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</si>
  <si>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</si>
  <si>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</si>
  <si>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</si>
  <si>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</si>
  <si>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</si>
  <si>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</si>
  <si>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</si>
  <si>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</si>
  <si>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</si>
  <si>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</si>
  <si>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</si>
  <si>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</si>
  <si>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</si>
  <si>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</si>
  <si>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</si>
  <si>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</si>
  <si>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</si>
  <si>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</si>
  <si>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</si>
  <si>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</si>
  <si>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</si>
  <si>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</si>
  <si>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BONUS</t>
  </si>
  <si>
    <t>Wages Month</t>
  </si>
  <si>
    <t xml:space="preserve"> FEB-2026</t>
  </si>
  <si>
    <t>102200363805</t>
  </si>
  <si>
    <t>102269888155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</si>
</sst>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1A2C3E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right"/>
    </xf>
    <xf numFmtId="0" fontId="4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6" fillId="3" borderId="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49" fontId="2" fillId="3" borderId="1" xfId="0" applyNumberFormat="1" applyFont="1" applyFill="1" applyBorder="1" applyAlignment="1">
      <alignment horizontal="center"/>
    </xf>
    <xf numFmtId="4" fontId="0" fillId="3" borderId="1" xfId="0" applyNumberFormat="1" applyFill="1" applyBorder="1" applyAlignment="1">
      <alignment horizontal="right"/>
    </xf>
    <xf numFmtId="0" fontId="0" fillId="3" borderId="0" xfId="0" applyFill="1"/>
    <xf numFmtId="49" fontId="0" fillId="3" borderId="1" xfId="0" applyNumberFormat="1" applyFill="1" applyBorder="1" applyAlignment="1">
      <alignment horizontal="center"/>
    </xf>
  </cellXfs>
  <cellStyles count="2">
    <cellStyle name="Normal" xfId="0" builtinId="0"/>
    <cellStyle name="Normal 2" xfId="1" xr:uid="{5CD34102-3379-4837-9176-FA070D0FDF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abSelected="1" zoomScale="80" zoomScaleNormal="80" workbookViewId="0">
      <selection activeCell="K37" sqref="K37"/>
    </sheetView>
  </sheetViews>
  <sheetFormatPr defaultRowHeight="15" x14ac:dyDescent="0.25"/>
  <cols>
    <col min="1" max="1" width="11.7109375" customWidth="1"/>
    <col min="2" max="2" width="18.140625" customWidth="1"/>
    <col min="3" max="3" width="12.5703125" customWidth="1"/>
    <col min="4" max="4" width="20.7109375" customWidth="1"/>
    <col min="5" max="6" width="25.7109375" customWidth="1"/>
    <col min="7" max="7" width="9.85546875" customWidth="1"/>
    <col min="8" max="8" width="11.85546875" customWidth="1"/>
    <col min="9" max="9" width="12.7109375" customWidth="1"/>
    <col min="10" max="10" width="16.42578125" customWidth="1"/>
    <col min="11" max="11" width="15" customWidth="1"/>
    <col min="12" max="20" width="12.7109375" customWidth="1"/>
    <col min="21" max="21" width="9.28515625" customWidth="1"/>
    <col min="22" max="22" width="15.140625" customWidth="1"/>
    <col min="23" max="25" width="12.7109375" customWidth="1"/>
  </cols>
  <sheetData>
    <row r="1" spans="1:25" ht="54.75" customHeight="1" x14ac:dyDescent="0.25">
      <c r="A1" s="1" t="s">
        <v>0</v>
      </c>
      <c r="B1" s="1" t="s">
        <v>107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106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ht="19.5" customHeight="1" x14ac:dyDescent="0.25">
      <c r="A2" s="2" t="s">
        <v>23</v>
      </c>
      <c r="B2" s="2" t="s">
        <v>108</v>
      </c>
      <c r="C2" s="2"/>
      <c r="D2" s="4" t="s">
        <v>24</v>
      </c>
      <c r="E2" s="20" t="s">
        <v>53</v>
      </c>
      <c r="F2" s="9" t="s">
        <v>55</v>
      </c>
      <c r="G2" s="3"/>
      <c r="H2" s="3"/>
      <c r="I2" s="9">
        <v>18</v>
      </c>
      <c r="J2" s="12">
        <v>5</v>
      </c>
      <c r="K2" s="13">
        <v>9189</v>
      </c>
      <c r="L2" s="2">
        <v>0</v>
      </c>
      <c r="M2" s="13">
        <v>638.125</v>
      </c>
      <c r="N2" s="2">
        <v>0</v>
      </c>
      <c r="O2" s="2">
        <f>K2*10%</f>
        <v>918.90000000000009</v>
      </c>
      <c r="P2" s="2">
        <f>K2*5%</f>
        <v>459.45000000000005</v>
      </c>
      <c r="Q2" s="3">
        <f>K2*8.33%</f>
        <v>765.44370000000004</v>
      </c>
      <c r="R2" s="16">
        <f>SUM(K2:Q2)</f>
        <v>11970.9187</v>
      </c>
      <c r="S2" s="2">
        <f>K2*12%</f>
        <v>1102.68</v>
      </c>
      <c r="T2" s="2">
        <v>0</v>
      </c>
      <c r="U2" s="2">
        <v>0</v>
      </c>
      <c r="V2" s="2">
        <v>0</v>
      </c>
      <c r="W2" s="17">
        <v>1619.7853500000001</v>
      </c>
      <c r="X2" s="18">
        <v>1000</v>
      </c>
      <c r="Y2" s="16">
        <f>R2-S2-W2-X2</f>
        <v>8248.4533499999998</v>
      </c>
    </row>
    <row r="3" spans="1:25" x14ac:dyDescent="0.25">
      <c r="A3" s="2" t="s">
        <v>96</v>
      </c>
      <c r="B3" s="2" t="s">
        <v>108</v>
      </c>
      <c r="C3" s="14"/>
      <c r="D3" s="5" t="s">
        <v>38</v>
      </c>
      <c r="E3" s="10" t="s">
        <v>48</v>
      </c>
      <c r="F3" s="10" t="s">
        <v>71</v>
      </c>
      <c r="G3" s="14"/>
      <c r="H3" s="14"/>
      <c r="I3" s="10">
        <v>3</v>
      </c>
      <c r="J3" s="12">
        <v>0</v>
      </c>
      <c r="K3" s="13">
        <v>1468.5</v>
      </c>
      <c r="L3" s="14"/>
      <c r="M3" s="13">
        <v>0</v>
      </c>
      <c r="N3" s="14"/>
      <c r="O3" s="2">
        <f>K3*10%</f>
        <v>146.85</v>
      </c>
      <c r="P3" s="2">
        <f>K3*5%</f>
        <v>73.424999999999997</v>
      </c>
      <c r="Q3" s="3">
        <f>K3*8.33%</f>
        <v>122.32605</v>
      </c>
      <c r="R3" s="16">
        <f>SUM(K3:Q3)</f>
        <v>1811.1010499999998</v>
      </c>
      <c r="S3" s="2">
        <f>K3*12%</f>
        <v>176.22</v>
      </c>
      <c r="T3" s="2">
        <v>0</v>
      </c>
      <c r="U3" s="2">
        <v>0</v>
      </c>
      <c r="V3" s="2">
        <v>0</v>
      </c>
      <c r="W3" s="17">
        <v>207</v>
      </c>
      <c r="X3" s="19">
        <v>500</v>
      </c>
      <c r="Y3" s="16">
        <f>R3-S3-W3-X3</f>
        <v>927.88104999999973</v>
      </c>
    </row>
    <row r="4" spans="1:25" x14ac:dyDescent="0.25">
      <c r="A4" s="2" t="s">
        <v>103</v>
      </c>
      <c r="B4" s="2" t="s">
        <v>108</v>
      </c>
      <c r="C4" s="14"/>
      <c r="D4" s="2" t="s">
        <v>45</v>
      </c>
      <c r="E4" s="10" t="s">
        <v>53</v>
      </c>
      <c r="F4" s="10" t="s">
        <v>78</v>
      </c>
      <c r="G4" s="14"/>
      <c r="H4" s="14"/>
      <c r="I4" s="10">
        <v>3</v>
      </c>
      <c r="J4" s="12">
        <v>0</v>
      </c>
      <c r="K4" s="13">
        <v>1501.5</v>
      </c>
      <c r="L4" s="14"/>
      <c r="M4" s="15">
        <v>0</v>
      </c>
      <c r="N4" s="14"/>
      <c r="O4" s="2">
        <f>K4*10%</f>
        <v>150.15</v>
      </c>
      <c r="P4" s="2">
        <f>K4*5%</f>
        <v>75.075000000000003</v>
      </c>
      <c r="Q4" s="3">
        <f>K4*8.33%</f>
        <v>125.07495</v>
      </c>
      <c r="R4" s="16">
        <f>SUM(K4:Q4)</f>
        <v>1851.7999500000001</v>
      </c>
      <c r="S4" s="2">
        <f>K4*12%</f>
        <v>180.18</v>
      </c>
      <c r="T4" s="2">
        <v>0</v>
      </c>
      <c r="U4" s="2">
        <v>0</v>
      </c>
      <c r="V4" s="2">
        <v>0</v>
      </c>
      <c r="W4" s="17">
        <v>675</v>
      </c>
      <c r="X4" s="21">
        <v>0</v>
      </c>
      <c r="Y4" s="16">
        <f>R4-S4-W4-X4</f>
        <v>996.61995000000002</v>
      </c>
    </row>
    <row r="5" spans="1:25" x14ac:dyDescent="0.25">
      <c r="A5" s="2" t="s">
        <v>94</v>
      </c>
      <c r="B5" s="2" t="s">
        <v>108</v>
      </c>
      <c r="C5" s="14"/>
      <c r="D5" s="7" t="s">
        <v>37</v>
      </c>
      <c r="E5" s="10" t="s">
        <v>50</v>
      </c>
      <c r="F5" s="11" t="s">
        <v>69</v>
      </c>
      <c r="G5" s="14"/>
      <c r="H5" s="14"/>
      <c r="I5" s="10">
        <v>12</v>
      </c>
      <c r="J5" s="12">
        <v>0</v>
      </c>
      <c r="K5" s="13">
        <v>6006</v>
      </c>
      <c r="L5" s="14"/>
      <c r="M5" s="13">
        <v>0</v>
      </c>
      <c r="N5" s="14"/>
      <c r="O5" s="2">
        <f>K5*10%</f>
        <v>600.6</v>
      </c>
      <c r="P5" s="2">
        <f>K5*5%</f>
        <v>300.3</v>
      </c>
      <c r="Q5" s="3">
        <f>K5*8.33%</f>
        <v>500.2998</v>
      </c>
      <c r="R5" s="16">
        <f>SUM(K5:Q5)</f>
        <v>7407.1998000000003</v>
      </c>
      <c r="S5" s="2">
        <f>K5*12%</f>
        <v>720.72</v>
      </c>
      <c r="T5" s="2">
        <v>0</v>
      </c>
      <c r="U5" s="2">
        <v>0</v>
      </c>
      <c r="V5" s="2">
        <v>0</v>
      </c>
      <c r="W5" s="17">
        <v>1000</v>
      </c>
      <c r="X5" s="19">
        <v>1000</v>
      </c>
      <c r="Y5" s="16">
        <f>R5-S5-W5-X5</f>
        <v>4686.4798000000001</v>
      </c>
    </row>
    <row r="6" spans="1:25" x14ac:dyDescent="0.25">
      <c r="A6" s="2" t="s">
        <v>104</v>
      </c>
      <c r="B6" s="2" t="s">
        <v>108</v>
      </c>
      <c r="C6" s="14"/>
      <c r="D6" s="2" t="s">
        <v>46</v>
      </c>
      <c r="E6" s="10" t="s">
        <v>52</v>
      </c>
      <c r="F6" s="10" t="s">
        <v>79</v>
      </c>
      <c r="G6" s="14"/>
      <c r="H6" s="14"/>
      <c r="I6" s="10">
        <v>3</v>
      </c>
      <c r="J6" s="12">
        <v>0</v>
      </c>
      <c r="K6" s="13">
        <v>1501.5</v>
      </c>
      <c r="L6" s="14"/>
      <c r="M6" s="15">
        <v>0</v>
      </c>
      <c r="N6" s="14"/>
      <c r="O6" s="2">
        <f>K6*10%</f>
        <v>150.15</v>
      </c>
      <c r="P6" s="2">
        <f>K6*5%</f>
        <v>75.075000000000003</v>
      </c>
      <c r="Q6" s="3">
        <f>K6*8.33%</f>
        <v>125.07495</v>
      </c>
      <c r="R6" s="16">
        <f>SUM(K6:Q6)</f>
        <v>1851.7999500000001</v>
      </c>
      <c r="S6" s="2">
        <f>K6*12%</f>
        <v>180.18</v>
      </c>
      <c r="T6" s="2">
        <v>0</v>
      </c>
      <c r="U6" s="2">
        <v>0</v>
      </c>
      <c r="V6" s="2">
        <v>0</v>
      </c>
      <c r="W6" s="17">
        <v>675</v>
      </c>
      <c r="X6" s="21">
        <v>0</v>
      </c>
      <c r="Y6" s="16">
        <f>R6-S6-W6-X6</f>
        <v>996.61995000000002</v>
      </c>
    </row>
    <row r="7" spans="1:25" x14ac:dyDescent="0.25">
      <c r="A7" s="2" t="s">
        <v>91</v>
      </c>
      <c r="B7" s="2" t="s">
        <v>108</v>
      </c>
      <c r="C7" s="14"/>
      <c r="D7" s="5" t="s">
        <v>35</v>
      </c>
      <c r="E7" s="10" t="s">
        <v>48</v>
      </c>
      <c r="F7" s="10" t="s">
        <v>66</v>
      </c>
      <c r="G7" s="14"/>
      <c r="H7" s="14"/>
      <c r="I7" s="10">
        <v>13</v>
      </c>
      <c r="J7" s="12">
        <v>0</v>
      </c>
      <c r="K7" s="13">
        <v>6363.5</v>
      </c>
      <c r="L7" s="14"/>
      <c r="M7" s="13">
        <v>0</v>
      </c>
      <c r="N7" s="14"/>
      <c r="O7" s="2">
        <f>K7*10%</f>
        <v>636.35</v>
      </c>
      <c r="P7" s="2">
        <f>K7*5%</f>
        <v>318.17500000000001</v>
      </c>
      <c r="Q7" s="3">
        <f>K7*8.33%</f>
        <v>530.07955000000004</v>
      </c>
      <c r="R7" s="16">
        <f>SUM(K7:Q7)</f>
        <v>7848.1045500000009</v>
      </c>
      <c r="S7" s="2">
        <f>K7*12%</f>
        <v>763.62</v>
      </c>
      <c r="T7" s="2">
        <v>0</v>
      </c>
      <c r="U7" s="2">
        <v>0</v>
      </c>
      <c r="V7" s="2">
        <v>0</v>
      </c>
      <c r="W7" s="17">
        <v>1547</v>
      </c>
      <c r="X7" s="19">
        <v>2500</v>
      </c>
      <c r="Y7" s="16">
        <f>R7-S7-W7-X7</f>
        <v>3037.484550000001</v>
      </c>
    </row>
    <row r="8" spans="1:25" x14ac:dyDescent="0.25">
      <c r="A8" s="2" t="s">
        <v>90</v>
      </c>
      <c r="B8" s="2" t="s">
        <v>108</v>
      </c>
      <c r="C8" s="14"/>
      <c r="D8" s="4" t="s">
        <v>34</v>
      </c>
      <c r="E8" s="10" t="s">
        <v>48</v>
      </c>
      <c r="F8" s="10" t="s">
        <v>65</v>
      </c>
      <c r="G8" s="14"/>
      <c r="H8" s="14"/>
      <c r="I8" s="10">
        <v>14</v>
      </c>
      <c r="J8" s="12">
        <v>5</v>
      </c>
      <c r="K8" s="13">
        <v>6853</v>
      </c>
      <c r="L8" s="14"/>
      <c r="M8" s="13">
        <v>611.875</v>
      </c>
      <c r="N8" s="14"/>
      <c r="O8" s="2">
        <f>K8*10%</f>
        <v>685.30000000000007</v>
      </c>
      <c r="P8" s="2">
        <f>K8*5%</f>
        <v>342.65000000000003</v>
      </c>
      <c r="Q8" s="3">
        <f>K8*8.33%</f>
        <v>570.85490000000004</v>
      </c>
      <c r="R8" s="16">
        <f>SUM(K8:Q8)</f>
        <v>9063.679900000001</v>
      </c>
      <c r="S8" s="2">
        <f>K8*12%</f>
        <v>822.36</v>
      </c>
      <c r="T8" s="2">
        <v>0</v>
      </c>
      <c r="U8" s="2">
        <v>0</v>
      </c>
      <c r="V8" s="2">
        <v>0</v>
      </c>
      <c r="W8" s="17">
        <v>2021.9146500000006</v>
      </c>
      <c r="X8" s="19">
        <v>2500</v>
      </c>
      <c r="Y8" s="16">
        <f>R8-S8-W8-X8</f>
        <v>3719.4052499999998</v>
      </c>
    </row>
    <row r="9" spans="1:25" x14ac:dyDescent="0.25">
      <c r="A9" s="2" t="s">
        <v>83</v>
      </c>
      <c r="B9" s="2" t="s">
        <v>108</v>
      </c>
      <c r="C9" s="14"/>
      <c r="D9" s="6" t="s">
        <v>27</v>
      </c>
      <c r="E9" s="10" t="s">
        <v>48</v>
      </c>
      <c r="F9" s="10" t="s">
        <v>58</v>
      </c>
      <c r="G9" s="14"/>
      <c r="H9" s="14"/>
      <c r="I9" s="10">
        <v>14</v>
      </c>
      <c r="J9" s="12">
        <v>0</v>
      </c>
      <c r="K9" s="13">
        <v>6853</v>
      </c>
      <c r="L9" s="14"/>
      <c r="M9" s="13">
        <v>0</v>
      </c>
      <c r="N9" s="14"/>
      <c r="O9" s="2">
        <f>K9*10%</f>
        <v>685.30000000000007</v>
      </c>
      <c r="P9" s="2">
        <f>K9*5%</f>
        <v>342.65000000000003</v>
      </c>
      <c r="Q9" s="3">
        <f>K9*8.33%</f>
        <v>570.85490000000004</v>
      </c>
      <c r="R9" s="16">
        <f>SUM(K9:Q9)</f>
        <v>8451.8048999999992</v>
      </c>
      <c r="S9" s="2">
        <f>K9*12%</f>
        <v>822.36</v>
      </c>
      <c r="T9" s="2">
        <v>0</v>
      </c>
      <c r="U9" s="2">
        <v>0</v>
      </c>
      <c r="V9" s="2">
        <v>0</v>
      </c>
      <c r="W9" s="17">
        <v>1420</v>
      </c>
      <c r="X9" s="19">
        <v>2000</v>
      </c>
      <c r="Y9" s="16">
        <f>R9-S9-W9-X9</f>
        <v>4209.4448999999995</v>
      </c>
    </row>
    <row r="10" spans="1:25" x14ac:dyDescent="0.25">
      <c r="A10" s="2" t="s">
        <v>84</v>
      </c>
      <c r="B10" s="2" t="s">
        <v>108</v>
      </c>
      <c r="C10" s="14"/>
      <c r="D10" s="5" t="s">
        <v>28</v>
      </c>
      <c r="E10" s="10" t="s">
        <v>49</v>
      </c>
      <c r="F10" s="10" t="s">
        <v>59</v>
      </c>
      <c r="G10" s="14"/>
      <c r="H10" s="14"/>
      <c r="I10" s="10">
        <v>16</v>
      </c>
      <c r="J10" s="12">
        <v>5</v>
      </c>
      <c r="K10" s="13">
        <v>7832</v>
      </c>
      <c r="L10" s="14"/>
      <c r="M10" s="13">
        <v>611.875</v>
      </c>
      <c r="N10" s="14"/>
      <c r="O10" s="2">
        <f>K10*10%</f>
        <v>783.2</v>
      </c>
      <c r="P10" s="2">
        <f>K10*5%</f>
        <v>391.6</v>
      </c>
      <c r="Q10" s="3">
        <f>K10*8.33%</f>
        <v>652.40559999999994</v>
      </c>
      <c r="R10" s="16">
        <f>SUM(K10:Q10)</f>
        <v>10271.080600000001</v>
      </c>
      <c r="S10" s="2">
        <f>K10*12%</f>
        <v>939.83999999999992</v>
      </c>
      <c r="T10" s="2">
        <v>0</v>
      </c>
      <c r="U10" s="2">
        <v>0</v>
      </c>
      <c r="V10" s="2">
        <v>0</v>
      </c>
      <c r="W10" s="17">
        <v>2021.9146500000006</v>
      </c>
      <c r="X10" s="19">
        <v>2000</v>
      </c>
      <c r="Y10" s="16">
        <f>R10-S10-W10-X10</f>
        <v>5309.3259500000004</v>
      </c>
    </row>
    <row r="11" spans="1:25" x14ac:dyDescent="0.25">
      <c r="A11" s="2" t="s">
        <v>98</v>
      </c>
      <c r="B11" s="2" t="s">
        <v>108</v>
      </c>
      <c r="C11" s="14"/>
      <c r="D11" s="5" t="s">
        <v>40</v>
      </c>
      <c r="E11" s="10" t="s">
        <v>48</v>
      </c>
      <c r="F11" s="10" t="s">
        <v>73</v>
      </c>
      <c r="G11" s="14"/>
      <c r="H11" s="14"/>
      <c r="I11" s="11">
        <v>4</v>
      </c>
      <c r="J11" s="12">
        <v>0</v>
      </c>
      <c r="K11" s="13">
        <v>1958</v>
      </c>
      <c r="L11" s="14"/>
      <c r="M11" s="13">
        <v>0</v>
      </c>
      <c r="N11" s="14"/>
      <c r="O11" s="2">
        <f>K11*10%</f>
        <v>195.8</v>
      </c>
      <c r="P11" s="2">
        <f>K11*5%</f>
        <v>97.9</v>
      </c>
      <c r="Q11" s="3">
        <f>K11*8.33%</f>
        <v>163.10139999999998</v>
      </c>
      <c r="R11" s="16">
        <f>SUM(K11:Q11)</f>
        <v>2414.8014000000003</v>
      </c>
      <c r="S11" s="2">
        <f>K11*12%</f>
        <v>234.95999999999998</v>
      </c>
      <c r="T11" s="2">
        <v>0</v>
      </c>
      <c r="U11" s="2">
        <v>0</v>
      </c>
      <c r="V11" s="2">
        <v>0</v>
      </c>
      <c r="W11" s="17">
        <v>751.96035000000052</v>
      </c>
      <c r="X11" s="19">
        <v>500</v>
      </c>
      <c r="Y11" s="16">
        <f>R11-S11-W11-X11</f>
        <v>927.88104999999973</v>
      </c>
    </row>
    <row r="12" spans="1:25" x14ac:dyDescent="0.25">
      <c r="A12" s="2" t="s">
        <v>86</v>
      </c>
      <c r="B12" s="2" t="s">
        <v>108</v>
      </c>
      <c r="C12" s="14"/>
      <c r="D12" s="5" t="s">
        <v>30</v>
      </c>
      <c r="E12" s="10" t="s">
        <v>48</v>
      </c>
      <c r="F12" s="10" t="s">
        <v>61</v>
      </c>
      <c r="G12" s="14"/>
      <c r="H12" s="14"/>
      <c r="I12" s="10">
        <v>14</v>
      </c>
      <c r="J12" s="12">
        <v>0</v>
      </c>
      <c r="K12" s="13">
        <v>6853</v>
      </c>
      <c r="L12" s="14"/>
      <c r="M12" s="13">
        <v>0</v>
      </c>
      <c r="N12" s="14"/>
      <c r="O12" s="2">
        <f>K12*10%</f>
        <v>685.30000000000007</v>
      </c>
      <c r="P12" s="2">
        <f>K12*5%</f>
        <v>342.65000000000003</v>
      </c>
      <c r="Q12" s="3">
        <f>K12*8.33%</f>
        <v>570.85490000000004</v>
      </c>
      <c r="R12" s="16">
        <f>SUM(K12:Q12)</f>
        <v>8451.8048999999992</v>
      </c>
      <c r="S12" s="2">
        <f>K12*12%</f>
        <v>822.36</v>
      </c>
      <c r="T12" s="2">
        <v>0</v>
      </c>
      <c r="U12" s="2">
        <v>0</v>
      </c>
      <c r="V12" s="2">
        <v>0</v>
      </c>
      <c r="W12" s="17">
        <v>1955</v>
      </c>
      <c r="X12" s="19">
        <v>1500</v>
      </c>
      <c r="Y12" s="16">
        <f>R12-S12-W12-X12</f>
        <v>4174.4448999999995</v>
      </c>
    </row>
    <row r="13" spans="1:25" x14ac:dyDescent="0.25">
      <c r="A13" s="2" t="s">
        <v>92</v>
      </c>
      <c r="B13" s="2" t="s">
        <v>108</v>
      </c>
      <c r="C13" s="14"/>
      <c r="D13" s="7" t="s">
        <v>36</v>
      </c>
      <c r="E13" s="10" t="s">
        <v>48</v>
      </c>
      <c r="F13" s="11" t="s">
        <v>67</v>
      </c>
      <c r="G13" s="14"/>
      <c r="H13" s="14"/>
      <c r="I13" s="10">
        <v>6</v>
      </c>
      <c r="J13" s="12">
        <v>5</v>
      </c>
      <c r="K13" s="13">
        <v>2937</v>
      </c>
      <c r="L13" s="14"/>
      <c r="M13" s="13">
        <v>611.875</v>
      </c>
      <c r="N13" s="14"/>
      <c r="O13" s="2">
        <f>K13*10%</f>
        <v>293.7</v>
      </c>
      <c r="P13" s="2">
        <f>K13*5%</f>
        <v>146.85</v>
      </c>
      <c r="Q13" s="3">
        <f>K13*8.33%</f>
        <v>244.65209999999999</v>
      </c>
      <c r="R13" s="16">
        <f>SUM(K13:Q13)</f>
        <v>4234.0770999999995</v>
      </c>
      <c r="S13" s="2">
        <f>K13*12%</f>
        <v>352.44</v>
      </c>
      <c r="T13" s="2">
        <v>0</v>
      </c>
      <c r="U13" s="2">
        <v>0</v>
      </c>
      <c r="V13" s="2">
        <v>0</v>
      </c>
      <c r="W13" s="17">
        <v>911.91465000000017</v>
      </c>
      <c r="X13" s="19">
        <v>1500</v>
      </c>
      <c r="Y13" s="16">
        <f>R13-S13-W13-X13</f>
        <v>1469.7224499999993</v>
      </c>
    </row>
    <row r="14" spans="1:25" x14ac:dyDescent="0.25">
      <c r="A14" s="2" t="s">
        <v>87</v>
      </c>
      <c r="B14" s="2" t="s">
        <v>108</v>
      </c>
      <c r="C14" s="14"/>
      <c r="D14" s="5" t="s">
        <v>31</v>
      </c>
      <c r="E14" s="10" t="s">
        <v>49</v>
      </c>
      <c r="F14" s="10" t="s">
        <v>62</v>
      </c>
      <c r="G14" s="14"/>
      <c r="H14" s="14"/>
      <c r="I14" s="10">
        <v>15</v>
      </c>
      <c r="J14" s="12">
        <v>5</v>
      </c>
      <c r="K14" s="13">
        <v>7342.5</v>
      </c>
      <c r="L14" s="14"/>
      <c r="M14" s="13">
        <v>611.875</v>
      </c>
      <c r="N14" s="14"/>
      <c r="O14" s="2">
        <f>K14*10%</f>
        <v>734.25</v>
      </c>
      <c r="P14" s="2">
        <f>K14*5%</f>
        <v>367.125</v>
      </c>
      <c r="Q14" s="3">
        <f>K14*8.33%</f>
        <v>611.63025000000005</v>
      </c>
      <c r="R14" s="16">
        <f>SUM(K14:Q14)</f>
        <v>9667.3802500000002</v>
      </c>
      <c r="S14" s="2">
        <f>K14*12%</f>
        <v>881.1</v>
      </c>
      <c r="T14" s="2">
        <v>0</v>
      </c>
      <c r="U14" s="2">
        <v>0</v>
      </c>
      <c r="V14" s="2">
        <v>0</v>
      </c>
      <c r="W14" s="17">
        <v>2021.9146499999988</v>
      </c>
      <c r="X14" s="19">
        <v>1000</v>
      </c>
      <c r="Y14" s="16">
        <f>R14-S14-W14-X14</f>
        <v>5764.365600000001</v>
      </c>
    </row>
    <row r="15" spans="1:25" x14ac:dyDescent="0.25">
      <c r="A15" s="2" t="s">
        <v>88</v>
      </c>
      <c r="B15" s="2" t="s">
        <v>108</v>
      </c>
      <c r="C15" s="14"/>
      <c r="D15" s="5" t="s">
        <v>32</v>
      </c>
      <c r="E15" s="10" t="s">
        <v>49</v>
      </c>
      <c r="F15" s="10" t="s">
        <v>63</v>
      </c>
      <c r="G15" s="14"/>
      <c r="H15" s="14"/>
      <c r="I15" s="10">
        <v>16</v>
      </c>
      <c r="J15" s="12">
        <v>5</v>
      </c>
      <c r="K15" s="13">
        <v>7832</v>
      </c>
      <c r="L15" s="14"/>
      <c r="M15" s="13">
        <v>611.875</v>
      </c>
      <c r="N15" s="14"/>
      <c r="O15" s="2">
        <f>K15*10%</f>
        <v>783.2</v>
      </c>
      <c r="P15" s="2">
        <f>K15*5%</f>
        <v>391.6</v>
      </c>
      <c r="Q15" s="3">
        <f>K15*8.33%</f>
        <v>652.40559999999994</v>
      </c>
      <c r="R15" s="16">
        <f>SUM(K15:Q15)</f>
        <v>10271.080600000001</v>
      </c>
      <c r="S15" s="2">
        <f>K15*12%</f>
        <v>939.83999999999992</v>
      </c>
      <c r="T15" s="2">
        <v>0</v>
      </c>
      <c r="U15" s="2">
        <v>0</v>
      </c>
      <c r="V15" s="2">
        <v>0</v>
      </c>
      <c r="W15" s="17">
        <v>2021.9146500000006</v>
      </c>
      <c r="X15" s="19">
        <v>1000</v>
      </c>
      <c r="Y15" s="16">
        <f>R15-S15-W15-X15</f>
        <v>6309.3259500000004</v>
      </c>
    </row>
    <row r="16" spans="1:25" x14ac:dyDescent="0.25">
      <c r="A16" s="2" t="s">
        <v>102</v>
      </c>
      <c r="B16" s="2" t="s">
        <v>108</v>
      </c>
      <c r="C16" s="14"/>
      <c r="D16" s="5" t="s">
        <v>44</v>
      </c>
      <c r="E16" s="10" t="s">
        <v>52</v>
      </c>
      <c r="F16" s="10" t="s">
        <v>77</v>
      </c>
      <c r="G16" s="14"/>
      <c r="H16" s="14"/>
      <c r="I16" s="10">
        <v>8</v>
      </c>
      <c r="J16" s="12">
        <v>0</v>
      </c>
      <c r="K16" s="13">
        <v>4004</v>
      </c>
      <c r="L16" s="14"/>
      <c r="M16" s="15">
        <v>0</v>
      </c>
      <c r="N16" s="14"/>
      <c r="O16" s="2">
        <f>K16*10%</f>
        <v>400.40000000000003</v>
      </c>
      <c r="P16" s="2">
        <f>K16*5%</f>
        <v>200.20000000000002</v>
      </c>
      <c r="Q16" s="3">
        <f>K16*8.33%</f>
        <v>333.53320000000002</v>
      </c>
      <c r="R16" s="16">
        <f>SUM(K16:Q16)</f>
        <v>4938.1331999999993</v>
      </c>
      <c r="S16" s="2">
        <f>K16*12%</f>
        <v>480.47999999999996</v>
      </c>
      <c r="T16" s="2">
        <v>0</v>
      </c>
      <c r="U16" s="2">
        <v>0</v>
      </c>
      <c r="V16" s="2">
        <v>0</v>
      </c>
      <c r="W16" s="17">
        <v>1529</v>
      </c>
      <c r="X16" s="19">
        <v>1000</v>
      </c>
      <c r="Y16" s="16">
        <f>R16-S16-W16-X16</f>
        <v>1928.6531999999997</v>
      </c>
    </row>
    <row r="17" spans="1:25" x14ac:dyDescent="0.25">
      <c r="A17" s="2" t="s">
        <v>82</v>
      </c>
      <c r="B17" s="2" t="s">
        <v>108</v>
      </c>
      <c r="C17" s="14"/>
      <c r="D17" s="4" t="s">
        <v>26</v>
      </c>
      <c r="E17" s="10" t="s">
        <v>48</v>
      </c>
      <c r="F17" s="10" t="s">
        <v>57</v>
      </c>
      <c r="G17" s="14"/>
      <c r="H17" s="14"/>
      <c r="I17" s="10">
        <v>14</v>
      </c>
      <c r="J17" s="12">
        <v>0</v>
      </c>
      <c r="K17" s="13">
        <v>6853</v>
      </c>
      <c r="L17" s="14"/>
      <c r="M17" s="13">
        <v>0</v>
      </c>
      <c r="N17" s="14"/>
      <c r="O17" s="2">
        <f>K17*10%</f>
        <v>685.30000000000007</v>
      </c>
      <c r="P17" s="2">
        <f>K17*5%</f>
        <v>342.65000000000003</v>
      </c>
      <c r="Q17" s="3">
        <f>K17*8.33%</f>
        <v>570.85490000000004</v>
      </c>
      <c r="R17" s="16">
        <f>SUM(K17:Q17)</f>
        <v>8451.8048999999992</v>
      </c>
      <c r="S17" s="2">
        <f>K17*12%</f>
        <v>822.36</v>
      </c>
      <c r="T17" s="2">
        <v>0</v>
      </c>
      <c r="U17" s="2">
        <v>0</v>
      </c>
      <c r="V17" s="2">
        <v>0</v>
      </c>
      <c r="W17" s="17">
        <v>1420</v>
      </c>
      <c r="X17" s="19">
        <v>2000</v>
      </c>
      <c r="Y17" s="16">
        <f>R17-S17-W17-X17</f>
        <v>4209.4448999999995</v>
      </c>
    </row>
    <row r="18" spans="1:25" x14ac:dyDescent="0.25">
      <c r="A18" s="2" t="s">
        <v>101</v>
      </c>
      <c r="B18" s="2" t="s">
        <v>108</v>
      </c>
      <c r="C18" s="14"/>
      <c r="D18" s="5" t="s">
        <v>43</v>
      </c>
      <c r="E18" s="10" t="s">
        <v>52</v>
      </c>
      <c r="F18" s="10" t="s">
        <v>76</v>
      </c>
      <c r="G18" s="14"/>
      <c r="H18" s="14"/>
      <c r="I18" s="11">
        <v>8</v>
      </c>
      <c r="J18" s="12">
        <v>0</v>
      </c>
      <c r="K18" s="13">
        <v>4004</v>
      </c>
      <c r="L18" s="14"/>
      <c r="M18" s="13">
        <v>0</v>
      </c>
      <c r="N18" s="14"/>
      <c r="O18" s="2">
        <f>K18*10%</f>
        <v>400.40000000000003</v>
      </c>
      <c r="P18" s="2">
        <f>K18*5%</f>
        <v>200.20000000000002</v>
      </c>
      <c r="Q18" s="3">
        <f>K18*8.33%</f>
        <v>333.53320000000002</v>
      </c>
      <c r="R18" s="16">
        <f>SUM(K18:Q18)</f>
        <v>4938.1331999999993</v>
      </c>
      <c r="S18" s="2">
        <f>K18*12%</f>
        <v>480.47999999999996</v>
      </c>
      <c r="T18" s="2">
        <v>0</v>
      </c>
      <c r="U18" s="2">
        <v>0</v>
      </c>
      <c r="V18" s="2">
        <v>0</v>
      </c>
      <c r="W18" s="17">
        <v>1529</v>
      </c>
      <c r="X18" s="19">
        <v>1000</v>
      </c>
      <c r="Y18" s="16">
        <f>R18-S18-W18-X18</f>
        <v>1928.6531999999997</v>
      </c>
    </row>
    <row r="19" spans="1:25" x14ac:dyDescent="0.25">
      <c r="A19" s="2" t="s">
        <v>100</v>
      </c>
      <c r="B19" s="2" t="s">
        <v>108</v>
      </c>
      <c r="C19" s="14"/>
      <c r="D19" s="5" t="s">
        <v>42</v>
      </c>
      <c r="E19" s="10" t="s">
        <v>51</v>
      </c>
      <c r="F19" s="10" t="s">
        <v>75</v>
      </c>
      <c r="G19" s="14"/>
      <c r="H19" s="14"/>
      <c r="I19" s="11">
        <v>5</v>
      </c>
      <c r="J19" s="12">
        <v>0</v>
      </c>
      <c r="K19" s="13">
        <v>2447.5</v>
      </c>
      <c r="L19" s="14"/>
      <c r="M19" s="13">
        <v>0</v>
      </c>
      <c r="N19" s="14"/>
      <c r="O19" s="2">
        <f>K19*10%</f>
        <v>244.75</v>
      </c>
      <c r="P19" s="2">
        <f>K19*5%</f>
        <v>122.375</v>
      </c>
      <c r="Q19" s="3">
        <f>K19*8.33%</f>
        <v>203.87674999999999</v>
      </c>
      <c r="R19" s="16">
        <f>SUM(K19:Q19)</f>
        <v>3018.5017499999999</v>
      </c>
      <c r="S19" s="2">
        <f>K19*12%</f>
        <v>293.7</v>
      </c>
      <c r="T19" s="2">
        <v>0</v>
      </c>
      <c r="U19" s="2">
        <v>0</v>
      </c>
      <c r="V19" s="2">
        <v>0</v>
      </c>
      <c r="W19" s="17">
        <v>1296.9207000000001</v>
      </c>
      <c r="X19" s="19">
        <v>500</v>
      </c>
      <c r="Y19" s="16">
        <f>R19-S19-W19-X19</f>
        <v>927.88104999999996</v>
      </c>
    </row>
    <row r="20" spans="1:25" x14ac:dyDescent="0.25">
      <c r="A20" s="2" t="s">
        <v>97</v>
      </c>
      <c r="B20" s="2" t="s">
        <v>108</v>
      </c>
      <c r="C20" s="14"/>
      <c r="D20" s="5" t="s">
        <v>39</v>
      </c>
      <c r="E20" s="10" t="s">
        <v>48</v>
      </c>
      <c r="F20" s="10" t="s">
        <v>72</v>
      </c>
      <c r="G20" s="14"/>
      <c r="H20" s="14"/>
      <c r="I20" s="10">
        <v>7</v>
      </c>
      <c r="J20" s="12">
        <v>0</v>
      </c>
      <c r="K20" s="13">
        <v>3426.5</v>
      </c>
      <c r="L20" s="14"/>
      <c r="M20" s="13">
        <v>0</v>
      </c>
      <c r="N20" s="14"/>
      <c r="O20" s="2">
        <f>K20*10%</f>
        <v>342.65000000000003</v>
      </c>
      <c r="P20" s="2">
        <f>K20*5%</f>
        <v>171.32500000000002</v>
      </c>
      <c r="Q20" s="3">
        <f>K20*8.33%</f>
        <v>285.42745000000002</v>
      </c>
      <c r="R20" s="16">
        <f>SUM(K20:Q20)</f>
        <v>4225.9024499999996</v>
      </c>
      <c r="S20" s="2">
        <f>K20*12%</f>
        <v>411.18</v>
      </c>
      <c r="T20" s="2">
        <v>0</v>
      </c>
      <c r="U20" s="2">
        <v>0</v>
      </c>
      <c r="V20" s="2">
        <v>0</v>
      </c>
      <c r="W20" s="17">
        <v>1245</v>
      </c>
      <c r="X20" s="19">
        <v>1000</v>
      </c>
      <c r="Y20" s="16">
        <f>R20-S20-W20-X20</f>
        <v>1569.7224499999998</v>
      </c>
    </row>
    <row r="21" spans="1:25" x14ac:dyDescent="0.25">
      <c r="A21" s="2" t="s">
        <v>81</v>
      </c>
      <c r="B21" s="2" t="s">
        <v>108</v>
      </c>
      <c r="C21" s="14"/>
      <c r="D21" s="5" t="s">
        <v>25</v>
      </c>
      <c r="E21" s="10" t="s">
        <v>48</v>
      </c>
      <c r="F21" s="10" t="s">
        <v>56</v>
      </c>
      <c r="G21" s="14"/>
      <c r="H21" s="14"/>
      <c r="I21" s="10">
        <v>15</v>
      </c>
      <c r="J21" s="12">
        <v>0</v>
      </c>
      <c r="K21" s="13">
        <v>7342.5</v>
      </c>
      <c r="L21" s="14"/>
      <c r="M21" s="13">
        <v>0</v>
      </c>
      <c r="N21" s="14"/>
      <c r="O21" s="2">
        <f>K21*10%</f>
        <v>734.25</v>
      </c>
      <c r="P21" s="2">
        <f>K21*5%</f>
        <v>367.125</v>
      </c>
      <c r="Q21" s="3">
        <f>K21*8.33%</f>
        <v>611.63025000000005</v>
      </c>
      <c r="R21" s="16">
        <f>SUM(K21:Q21)</f>
        <v>9055.5052500000002</v>
      </c>
      <c r="S21" s="2">
        <f>K21*12%</f>
        <v>881.1</v>
      </c>
      <c r="T21" s="2">
        <v>0</v>
      </c>
      <c r="U21" s="2">
        <v>0</v>
      </c>
      <c r="V21" s="2">
        <v>0</v>
      </c>
      <c r="W21" s="17">
        <v>1420</v>
      </c>
      <c r="X21" s="19">
        <v>2000</v>
      </c>
      <c r="Y21" s="16">
        <f>R21-S21-W21-X21</f>
        <v>4754.4052499999998</v>
      </c>
    </row>
    <row r="22" spans="1:25" x14ac:dyDescent="0.25">
      <c r="A22" s="2" t="s">
        <v>99</v>
      </c>
      <c r="B22" s="2" t="s">
        <v>108</v>
      </c>
      <c r="C22" s="14"/>
      <c r="D22" s="5" t="s">
        <v>41</v>
      </c>
      <c r="E22" s="10" t="s">
        <v>51</v>
      </c>
      <c r="F22" s="10" t="s">
        <v>74</v>
      </c>
      <c r="G22" s="14"/>
      <c r="H22" s="14"/>
      <c r="I22" s="11">
        <v>8</v>
      </c>
      <c r="J22" s="12">
        <v>0</v>
      </c>
      <c r="K22" s="13">
        <v>3916</v>
      </c>
      <c r="L22" s="14"/>
      <c r="M22" s="13">
        <v>0</v>
      </c>
      <c r="N22" s="14"/>
      <c r="O22" s="2">
        <f>K22*10%</f>
        <v>391.6</v>
      </c>
      <c r="P22" s="2">
        <f>K22*5%</f>
        <v>195.8</v>
      </c>
      <c r="Q22" s="3">
        <f>K22*8.33%</f>
        <v>326.20279999999997</v>
      </c>
      <c r="R22" s="16">
        <f>SUM(K22:Q22)</f>
        <v>4829.6028000000006</v>
      </c>
      <c r="S22" s="2">
        <f>K22*12%</f>
        <v>469.91999999999996</v>
      </c>
      <c r="T22" s="2">
        <v>0</v>
      </c>
      <c r="U22" s="2">
        <v>0</v>
      </c>
      <c r="V22" s="2">
        <v>0</v>
      </c>
      <c r="W22" s="17">
        <v>1529</v>
      </c>
      <c r="X22" s="19">
        <v>1000</v>
      </c>
      <c r="Y22" s="16">
        <f>R22-S22-W22-X22</f>
        <v>1830.6828000000005</v>
      </c>
    </row>
    <row r="23" spans="1:25" x14ac:dyDescent="0.25">
      <c r="A23" s="2" t="s">
        <v>105</v>
      </c>
      <c r="B23" s="2" t="s">
        <v>108</v>
      </c>
      <c r="C23" s="14"/>
      <c r="D23" s="5" t="s">
        <v>47</v>
      </c>
      <c r="E23" s="10" t="s">
        <v>54</v>
      </c>
      <c r="F23" s="10" t="s">
        <v>80</v>
      </c>
      <c r="G23" s="14"/>
      <c r="H23" s="14"/>
      <c r="I23" s="10">
        <v>2</v>
      </c>
      <c r="J23" s="12">
        <v>0</v>
      </c>
      <c r="K23" s="13">
        <v>979</v>
      </c>
      <c r="L23" s="14"/>
      <c r="M23" s="15">
        <v>0</v>
      </c>
      <c r="N23" s="14"/>
      <c r="O23" s="2">
        <f>K23*10%</f>
        <v>97.9</v>
      </c>
      <c r="P23" s="2">
        <f>K23*5%</f>
        <v>48.95</v>
      </c>
      <c r="Q23" s="3">
        <f>K23*8.33%</f>
        <v>81.550699999999992</v>
      </c>
      <c r="R23" s="16">
        <f>SUM(K23:Q23)</f>
        <v>1207.4007000000001</v>
      </c>
      <c r="S23" s="2">
        <f>K23*12%</f>
        <v>117.47999999999999</v>
      </c>
      <c r="T23" s="2">
        <v>0</v>
      </c>
      <c r="U23" s="2">
        <v>0</v>
      </c>
      <c r="V23" s="2">
        <v>0</v>
      </c>
      <c r="W23" s="17">
        <v>341</v>
      </c>
      <c r="X23" s="21">
        <v>0</v>
      </c>
      <c r="Y23" s="16">
        <f t="shared" ref="Y23:Y27" si="0">R23-S23-W23-X23</f>
        <v>748.92070000000012</v>
      </c>
    </row>
    <row r="24" spans="1:25" s="27" customFormat="1" x14ac:dyDescent="0.25">
      <c r="A24" s="23" t="s">
        <v>95</v>
      </c>
      <c r="B24" s="23" t="s">
        <v>108</v>
      </c>
      <c r="C24" s="24"/>
      <c r="D24" s="25" t="s">
        <v>109</v>
      </c>
      <c r="E24" s="10" t="s">
        <v>49</v>
      </c>
      <c r="F24" s="11" t="s">
        <v>70</v>
      </c>
      <c r="G24" s="24"/>
      <c r="H24" s="24"/>
      <c r="I24" s="10">
        <v>12</v>
      </c>
      <c r="J24" s="12">
        <v>5</v>
      </c>
      <c r="K24" s="13">
        <v>5874</v>
      </c>
      <c r="L24" s="24"/>
      <c r="M24" s="13">
        <v>611.875</v>
      </c>
      <c r="N24" s="24"/>
      <c r="O24" s="23">
        <f t="shared" ref="O24:O26" si="1">K24*10%</f>
        <v>587.4</v>
      </c>
      <c r="P24" s="23">
        <f t="shared" ref="P24:P26" si="2">K24*5%</f>
        <v>293.7</v>
      </c>
      <c r="Q24" s="26">
        <f>K24*8.33%</f>
        <v>489.30419999999998</v>
      </c>
      <c r="R24" s="8">
        <f t="shared" ref="R24:R27" si="3">SUM(K24:Q24)</f>
        <v>7856.279199999999</v>
      </c>
      <c r="S24" s="23">
        <f t="shared" ref="S24:S27" si="4">K24*12%</f>
        <v>704.88</v>
      </c>
      <c r="T24" s="23">
        <v>0</v>
      </c>
      <c r="U24" s="23">
        <v>0</v>
      </c>
      <c r="V24" s="2">
        <v>0</v>
      </c>
      <c r="W24" s="17">
        <v>1066.9146499999979</v>
      </c>
      <c r="X24" s="19">
        <v>1000</v>
      </c>
      <c r="Y24" s="8">
        <f t="shared" si="0"/>
        <v>5084.484550000001</v>
      </c>
    </row>
    <row r="25" spans="1:25" s="27" customFormat="1" x14ac:dyDescent="0.25">
      <c r="A25" s="23" t="s">
        <v>93</v>
      </c>
      <c r="B25" s="23" t="s">
        <v>108</v>
      </c>
      <c r="C25" s="24"/>
      <c r="D25" s="28" t="s">
        <v>110</v>
      </c>
      <c r="E25" s="10" t="s">
        <v>50</v>
      </c>
      <c r="F25" s="11" t="s">
        <v>68</v>
      </c>
      <c r="G25" s="24"/>
      <c r="H25" s="24"/>
      <c r="I25" s="10">
        <v>12</v>
      </c>
      <c r="J25" s="12">
        <v>0</v>
      </c>
      <c r="K25" s="13">
        <v>6006</v>
      </c>
      <c r="L25" s="24"/>
      <c r="M25" s="13">
        <v>0</v>
      </c>
      <c r="N25" s="24"/>
      <c r="O25" s="23">
        <f t="shared" si="1"/>
        <v>600.6</v>
      </c>
      <c r="P25" s="23">
        <f t="shared" si="2"/>
        <v>300.3</v>
      </c>
      <c r="Q25" s="26">
        <f t="shared" ref="Q25:Q27" si="5">K25*8.33%</f>
        <v>500.2998</v>
      </c>
      <c r="R25" s="8">
        <f t="shared" si="3"/>
        <v>7407.1998000000003</v>
      </c>
      <c r="S25" s="23">
        <f t="shared" si="4"/>
        <v>720.72</v>
      </c>
      <c r="T25" s="23">
        <v>0</v>
      </c>
      <c r="U25" s="23">
        <v>0</v>
      </c>
      <c r="V25" s="2">
        <v>0</v>
      </c>
      <c r="W25" s="17">
        <v>1000</v>
      </c>
      <c r="X25" s="22">
        <v>1000</v>
      </c>
      <c r="Y25" s="8">
        <f t="shared" si="0"/>
        <v>4686.4798000000001</v>
      </c>
    </row>
    <row r="26" spans="1:25" x14ac:dyDescent="0.25">
      <c r="A26" s="2" t="s">
        <v>89</v>
      </c>
      <c r="B26" s="2" t="s">
        <v>108</v>
      </c>
      <c r="C26" s="14"/>
      <c r="D26" s="5" t="s">
        <v>33</v>
      </c>
      <c r="E26" s="10" t="s">
        <v>49</v>
      </c>
      <c r="F26" s="10" t="s">
        <v>64</v>
      </c>
      <c r="G26" s="14"/>
      <c r="H26" s="14"/>
      <c r="I26" s="10">
        <v>16</v>
      </c>
      <c r="J26" s="12">
        <v>0</v>
      </c>
      <c r="K26" s="13">
        <v>7832</v>
      </c>
      <c r="L26" s="14"/>
      <c r="M26" s="13">
        <v>0</v>
      </c>
      <c r="N26" s="14"/>
      <c r="O26" s="2">
        <f t="shared" si="1"/>
        <v>783.2</v>
      </c>
      <c r="P26" s="2">
        <f t="shared" si="2"/>
        <v>391.6</v>
      </c>
      <c r="Q26" s="3">
        <f t="shared" si="5"/>
        <v>652.40559999999994</v>
      </c>
      <c r="R26" s="16">
        <f t="shared" si="3"/>
        <v>9659.2056000000011</v>
      </c>
      <c r="S26" s="2">
        <f t="shared" si="4"/>
        <v>939.83999999999992</v>
      </c>
      <c r="T26" s="2">
        <v>0</v>
      </c>
      <c r="U26" s="2">
        <v>0</v>
      </c>
      <c r="V26" s="2">
        <v>0</v>
      </c>
      <c r="W26" s="17">
        <v>1955</v>
      </c>
      <c r="X26" s="22">
        <v>1000</v>
      </c>
      <c r="Y26" s="16">
        <f t="shared" si="0"/>
        <v>5764.365600000001</v>
      </c>
    </row>
    <row r="27" spans="1:25" x14ac:dyDescent="0.25">
      <c r="A27" s="2" t="s">
        <v>85</v>
      </c>
      <c r="B27" s="2" t="s">
        <v>108</v>
      </c>
      <c r="C27" s="14"/>
      <c r="D27" s="5" t="s">
        <v>29</v>
      </c>
      <c r="E27" s="10" t="s">
        <v>49</v>
      </c>
      <c r="F27" s="10" t="s">
        <v>60</v>
      </c>
      <c r="G27" s="14"/>
      <c r="H27" s="14"/>
      <c r="I27" s="10">
        <v>16</v>
      </c>
      <c r="J27" s="12">
        <v>5</v>
      </c>
      <c r="K27" s="13">
        <v>7832</v>
      </c>
      <c r="L27" s="14"/>
      <c r="M27" s="13">
        <v>611.875</v>
      </c>
      <c r="N27" s="14"/>
      <c r="O27" s="2">
        <f>K27*10%</f>
        <v>783.2</v>
      </c>
      <c r="P27" s="2">
        <f>K27*5%</f>
        <v>391.6</v>
      </c>
      <c r="Q27" s="3">
        <f t="shared" si="5"/>
        <v>652.40559999999994</v>
      </c>
      <c r="R27" s="16">
        <f t="shared" si="3"/>
        <v>10271.080600000001</v>
      </c>
      <c r="S27" s="2">
        <f t="shared" si="4"/>
        <v>939.83999999999992</v>
      </c>
      <c r="T27" s="2">
        <v>0</v>
      </c>
      <c r="U27" s="2">
        <v>0</v>
      </c>
      <c r="V27" s="2">
        <v>0</v>
      </c>
      <c r="W27" s="17">
        <v>2021.9146500000006</v>
      </c>
      <c r="X27" s="22">
        <v>3000</v>
      </c>
      <c r="Y27" s="16">
        <f t="shared" si="0"/>
        <v>4309.3259500000004</v>
      </c>
    </row>
  </sheetData>
  <sortState xmlns:xlrd2="http://schemas.microsoft.com/office/spreadsheetml/2017/richdata2" ref="A2:Y27">
    <sortCondition ref="F25:F27"/>
  </sortState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2026-03-24T06:11:28Z</dcterms:created>
  <dcterms:modified xsi:type="dcterms:W3CDTF">2026-03-24T13:03:46Z</dcterms:modified>
</cp:coreProperties>
</file>